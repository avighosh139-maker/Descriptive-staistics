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vigh\OneDrive\Desktop\"/>
    </mc:Choice>
  </mc:AlternateContent>
  <xr:revisionPtr revIDLastSave="0" documentId="8_{FCB3A101-7516-444C-9016-AD6F812F0AEE}" xr6:coauthVersionLast="47" xr6:coauthVersionMax="47" xr10:uidLastSave="{00000000-0000-0000-0000-000000000000}"/>
  <bookViews>
    <workbookView xWindow="-120" yWindow="-120" windowWidth="20730" windowHeight="11040" xr2:uid="{76F0E830-8E82-4260-8FC2-CA2F2B1F499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66" i="1" l="1"/>
  <c r="A165" i="1"/>
  <c r="A164" i="1"/>
  <c r="A163" i="1"/>
  <c r="A162" i="1"/>
  <c r="A144" i="1"/>
  <c r="A142" i="1"/>
  <c r="A123" i="1" a="1"/>
  <c r="A123" i="1"/>
  <c r="A105" i="1"/>
  <c r="A88" i="1"/>
  <c r="A73" i="1"/>
  <c r="A56" i="1"/>
  <c r="A40" i="1"/>
  <c r="A2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<sst xmlns="http://schemas.openxmlformats.org/spreadsheetml/2006/main" count="70" uniqueCount="56">
  <si>
    <t>1.Q1: Understanding Central Tendency (Easy)</t>
  </si>
  <si>
    <t>A bakery tracks the daily sales of muffins (in dozens) over a week: [10, 12, 11, 15, 14, 13, 12].  What is the most representative value of their weekly sales, and why?</t>
  </si>
  <si>
    <t>Ans: Mean (Average)= 10+12+11+15+14+13+12)/7= 12.43 dozens</t>
  </si>
  <si>
    <t>Median=12</t>
  </si>
  <si>
    <t>Mode=12 '</t>
  </si>
  <si>
    <t xml:space="preserve"> </t>
  </si>
  <si>
    <t>Most Representative value Mean= 12.43 dozens the data has no extreme outliers evenly distributed so the mean considers all the value and best represents the over all weekly sales</t>
  </si>
  <si>
    <t>2.Mean in Real Life</t>
  </si>
  <si>
    <t>A teacher records the marks of her students in a short quiz: [12, 15, 14, 16, 18, 20, 19].  What is the mean score, and what does it tell us about the class’s performance?</t>
  </si>
  <si>
    <t>A</t>
  </si>
  <si>
    <t>Ans: The socre 16.28571 indicates the overall class performance is good</t>
  </si>
  <si>
    <t>3. Mode in Real Life (Easy)</t>
  </si>
  <si>
    <t>A store records the shoe sizes sold in one day: [7, 8, 9, 8, 8, 10, 7, 9].  What is the mode, and why is this information useful for the store manager?</t>
  </si>
  <si>
    <t>Ans:</t>
  </si>
  <si>
    <t>The Mode is 8 because it occurs most frequently what it tells the store manager is Shoe size 8 is mot sold one the store should stock more size 8</t>
  </si>
  <si>
    <t>4. Q4: Median in Real Life (Medium)</t>
  </si>
  <si>
    <t>A car dealer notes the prices of used cars: [$8,000, $9,500, $10,200, $11,000, $50,000].  Why is the median a better measure than the mean in this case? Calculate the median</t>
  </si>
  <si>
    <t>the median is a better measure than mean in this case because the data contains a extreme value which would distort the average</t>
  </si>
  <si>
    <t>Q5: Dispersion Introduction (Medium</t>
  </si>
  <si>
    <t>A student times how long it takes to finish a puzzle each day: [25, 30, 27, 35, 40].  What does the range tell us about the variation in the student’s puzzle-solving time?</t>
  </si>
  <si>
    <t>Thr range is 15 which means the students puzzle solving time varies by 15 minutes from the fastest to the slowest thisindicates there is moderate variation</t>
  </si>
  <si>
    <t>6. Range in Action (Medium)</t>
  </si>
  <si>
    <t>A farmer records the weekly weight of harvested apples (kg): [100, 105, 98, 110, 120].  Find the range. How can this help the farmer in planning his packaging?</t>
  </si>
  <si>
    <t>The Range is 22 kg which shows that weekly apple harvest is 22 kg from the lowest to highest week its helps in estimate variation in harvest size assist in planning quantities supports better storage and transport planning</t>
  </si>
  <si>
    <t>Q7: Variance for Decision-Making (Medium)</t>
  </si>
  <si>
    <t>Two delivery companies track delivery delays (in minutes).</t>
  </si>
  <si>
    <t>Company A: variance = 6</t>
  </si>
  <si>
    <t>Company B: variance = 15</t>
  </si>
  <si>
    <t>Which company is more consistent, and why?</t>
  </si>
  <si>
    <t>Company</t>
  </si>
  <si>
    <t>B</t>
  </si>
  <si>
    <t>Variance</t>
  </si>
  <si>
    <t>Company A is more consistent because it has lower variance compared to company B indicating less variance in delivery delays</t>
  </si>
  <si>
    <t>Q8: Standard Deviation in Context (Hard)</t>
  </si>
  <si>
    <t>A finance student compares the daily price fluctuations of two cryptocurrencies.</t>
  </si>
  <si>
    <t>Coin A: standard deviation = $30</t>
  </si>
  <si>
    <t>Coin B: standard deviation = $120</t>
  </si>
  <si>
    <t>Which coin is riskier to invest in, and why?</t>
  </si>
  <si>
    <t>Ans</t>
  </si>
  <si>
    <t xml:space="preserve">Coin </t>
  </si>
  <si>
    <t>Standard Deviiation</t>
  </si>
  <si>
    <t>Coin B is riskier to invest in because it has much higher standard deviation coin B price fluctuates more widely indicating greater volatility</t>
  </si>
  <si>
    <t>Q9: Combining Measures (Hard)</t>
  </si>
  <si>
    <t>A family records their monthly electricity usage (in kWh): [400, 420, 390, 450, 410].</t>
  </si>
  <si>
    <t>Find the mean and standard deviation. What do these values together tell you about the family’s energy use pattern?</t>
  </si>
  <si>
    <t>A (Kwh)</t>
  </si>
  <si>
    <t>Mean monthly</t>
  </si>
  <si>
    <t>Standard Deviataion is 24 KWH the family average montly electricity usage is 414 KWH and the standard deviation is about 24 KWH</t>
  </si>
  <si>
    <t>Q10: Practical Application (Hard)</t>
  </si>
  <si>
    <t>A basketball player’s points in 8 games are recorded: [15, 18, 20, 22, 25, 17, 19, 21].  Find the mean, median, mode, range, and standard deviation. What insights can these measures provide about the player’s scoring performance?</t>
  </si>
  <si>
    <t>Mean</t>
  </si>
  <si>
    <t>Median</t>
  </si>
  <si>
    <t>Mode</t>
  </si>
  <si>
    <t>Range</t>
  </si>
  <si>
    <t>Standard Deviation</t>
  </si>
  <si>
    <t>The player scores an average of 19.6 points per game the median is close to mean showing a balanced score there is no mode means player does not repeat the same score often,the range of 10 ponts and standard deviation  of about 3.16 indicated moderate variability suggesting the players performance is fairly consistent across games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</si>
</sst>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9FF2F-31D8-4F88-BE7D-356F484C8F58}">
  <dimension ref="A1:N168"/>
  <sheetViews>
    <sheetView tabSelected="1" topLeftCell="A153" workbookViewId="0">
      <selection activeCell="A169" sqref="A169"/>
    </sheetView>
  </sheetViews>
  <sheetFormatPr defaultRowHeight="15" x14ac:dyDescent="0.25"/>
  <sheetData>
    <row r="1" spans="1:14" x14ac:dyDescent="0.25">
      <c r="A1" t="s">
        <v>0</v>
      </c>
    </row>
    <row r="2" spans="1:14" x14ac:dyDescent="0.25">
      <c r="A2" t="s">
        <v>1</v>
      </c>
    </row>
    <row r="4" spans="1:14" x14ac:dyDescent="0.25">
      <c r="A4" t="s">
        <v>2</v>
      </c>
    </row>
    <row r="5" spans="1:14" x14ac:dyDescent="0.25">
      <c r="A5" t="s">
        <v>3</v>
      </c>
    </row>
    <row r="6" spans="1:14" x14ac:dyDescent="0.25">
      <c r="A6" t="s">
        <v>4</v>
      </c>
    </row>
    <row r="7" spans="1:14" x14ac:dyDescent="0.25">
      <c r="N7" t="s">
        <v>5</v>
      </c>
    </row>
    <row r="8" spans="1:14" x14ac:dyDescent="0.25">
      <c r="A8" t="s">
        <v>6</v>
      </c>
    </row>
    <row r="10" spans="1:14" x14ac:dyDescent="0.25">
      <c r="A10" t="s">
        <v>7</v>
      </c>
    </row>
    <row r="11" spans="1:14" x14ac:dyDescent="0.25">
      <c r="A11" t="s">
        <v>8</v>
      </c>
    </row>
    <row r="12" spans="1:14" x14ac:dyDescent="0.25">
      <c r="A12" t="s">
        <v>10</v>
      </c>
    </row>
    <row r="13" spans="1:14" x14ac:dyDescent="0.25">
      <c r="A13" t="s">
        <v>9</v>
      </c>
    </row>
    <row r="14" spans="1:14" x14ac:dyDescent="0.25">
      <c r="A14">
        <v>12</v>
      </c>
    </row>
    <row r="15" spans="1:14" x14ac:dyDescent="0.25">
      <c r="A15">
        <v>15</v>
      </c>
    </row>
    <row r="16" spans="1:14" x14ac:dyDescent="0.25">
      <c r="A16">
        <v>14</v>
      </c>
    </row>
    <row r="17" spans="1:1" x14ac:dyDescent="0.25">
      <c r="A17">
        <v>16</v>
      </c>
    </row>
    <row r="18" spans="1:1" x14ac:dyDescent="0.25">
      <c r="A18">
        <v>18</v>
      </c>
    </row>
    <row r="19" spans="1:1" x14ac:dyDescent="0.25">
      <c r="A19">
        <v>20</v>
      </c>
    </row>
    <row r="20" spans="1:1" x14ac:dyDescent="0.25">
      <c r="A20">
        <v>19</v>
      </c>
    </row>
    <row r="22" spans="1:1" x14ac:dyDescent="0.25">
      <c r="A22">
        <f>AVERAGE(A14:A20)</f>
        <v>16.285714285714285</v>
      </c>
    </row>
    <row r="25" spans="1:1" x14ac:dyDescent="0.25">
      <c r="A25" t="s">
        <v>11</v>
      </c>
    </row>
    <row r="26" spans="1:1" x14ac:dyDescent="0.25">
      <c r="A26" t="s">
        <v>12</v>
      </c>
    </row>
    <row r="28" spans="1:1" x14ac:dyDescent="0.25">
      <c r="A28" t="s">
        <v>13</v>
      </c>
    </row>
    <row r="30" spans="1:1" x14ac:dyDescent="0.25">
      <c r="A30" t="s">
        <v>9</v>
      </c>
    </row>
    <row r="31" spans="1:1" x14ac:dyDescent="0.25">
      <c r="A31">
        <v>7</v>
      </c>
    </row>
    <row r="32" spans="1:1" x14ac:dyDescent="0.25">
      <c r="A32">
        <v>8</v>
      </c>
    </row>
    <row r="33" spans="1:1" x14ac:dyDescent="0.25">
      <c r="A33">
        <v>9</v>
      </c>
    </row>
    <row r="34" spans="1:1" x14ac:dyDescent="0.25">
      <c r="A34">
        <v>8</v>
      </c>
    </row>
    <row r="35" spans="1:1" x14ac:dyDescent="0.25">
      <c r="A35">
        <v>8</v>
      </c>
    </row>
    <row r="36" spans="1:1" x14ac:dyDescent="0.25">
      <c r="A36">
        <v>10</v>
      </c>
    </row>
    <row r="37" spans="1:1" x14ac:dyDescent="0.25">
      <c r="A37">
        <v>7</v>
      </c>
    </row>
    <row r="38" spans="1:1" x14ac:dyDescent="0.25">
      <c r="A38">
        <v>9</v>
      </c>
    </row>
    <row r="40" spans="1:1" x14ac:dyDescent="0.25">
      <c r="A40">
        <f>MODE(A31:A38)</f>
        <v>8</v>
      </c>
    </row>
    <row r="42" spans="1:1" x14ac:dyDescent="0.25">
      <c r="A42" t="s">
        <v>14</v>
      </c>
    </row>
    <row r="44" spans="1:1" x14ac:dyDescent="0.25">
      <c r="A44" t="s">
        <v>15</v>
      </c>
    </row>
    <row r="45" spans="1:1" x14ac:dyDescent="0.25">
      <c r="A45" t="s">
        <v>16</v>
      </c>
    </row>
    <row r="47" spans="1:1" x14ac:dyDescent="0.25">
      <c r="A47" t="s">
        <v>13</v>
      </c>
    </row>
    <row r="49" spans="1:1" x14ac:dyDescent="0.25">
      <c r="A49" t="s">
        <v>9</v>
      </c>
    </row>
    <row r="50" spans="1:1" x14ac:dyDescent="0.25">
      <c r="A50">
        <v>8000</v>
      </c>
    </row>
    <row r="51" spans="1:1" x14ac:dyDescent="0.25">
      <c r="A51">
        <v>9500</v>
      </c>
    </row>
    <row r="52" spans="1:1" x14ac:dyDescent="0.25">
      <c r="A52" s="1">
        <v>10200</v>
      </c>
    </row>
    <row r="53" spans="1:1" x14ac:dyDescent="0.25">
      <c r="A53">
        <v>11000</v>
      </c>
    </row>
    <row r="54" spans="1:1" x14ac:dyDescent="0.25">
      <c r="A54">
        <v>50000</v>
      </c>
    </row>
    <row r="56" spans="1:1" x14ac:dyDescent="0.25">
      <c r="A56">
        <f>MEDIAN(A50:A54)</f>
        <v>10200</v>
      </c>
    </row>
    <row r="58" spans="1:1" x14ac:dyDescent="0.25">
      <c r="A58" t="s">
        <v>17</v>
      </c>
    </row>
    <row r="61" spans="1:1" x14ac:dyDescent="0.25">
      <c r="A61" t="s">
        <v>18</v>
      </c>
    </row>
    <row r="62" spans="1:1" x14ac:dyDescent="0.25">
      <c r="A62" t="s">
        <v>19</v>
      </c>
    </row>
    <row r="64" spans="1:1" x14ac:dyDescent="0.25">
      <c r="A64" t="s">
        <v>13</v>
      </c>
    </row>
    <row r="66" spans="1:1" x14ac:dyDescent="0.25">
      <c r="A66" t="s">
        <v>9</v>
      </c>
    </row>
    <row r="67" spans="1:1" x14ac:dyDescent="0.25">
      <c r="A67">
        <v>25</v>
      </c>
    </row>
    <row r="68" spans="1:1" x14ac:dyDescent="0.25">
      <c r="A68">
        <v>30</v>
      </c>
    </row>
    <row r="69" spans="1:1" x14ac:dyDescent="0.25">
      <c r="A69">
        <v>27</v>
      </c>
    </row>
    <row r="70" spans="1:1" x14ac:dyDescent="0.25">
      <c r="A70">
        <v>35</v>
      </c>
    </row>
    <row r="71" spans="1:1" x14ac:dyDescent="0.25">
      <c r="A71">
        <v>40</v>
      </c>
    </row>
    <row r="73" spans="1:1" x14ac:dyDescent="0.25">
      <c r="A73">
        <f>MAX(A67:A71)-MIN(A67:A71)</f>
        <v>15</v>
      </c>
    </row>
    <row r="74" spans="1:1" x14ac:dyDescent="0.25">
      <c r="A74" t="s">
        <v>20</v>
      </c>
    </row>
    <row r="76" spans="1:1" x14ac:dyDescent="0.25">
      <c r="A76" t="s">
        <v>21</v>
      </c>
    </row>
    <row r="77" spans="1:1" x14ac:dyDescent="0.25">
      <c r="A77" t="s">
        <v>22</v>
      </c>
    </row>
    <row r="79" spans="1:1" x14ac:dyDescent="0.25">
      <c r="A79" t="s">
        <v>13</v>
      </c>
    </row>
    <row r="81" spans="1:1" x14ac:dyDescent="0.25">
      <c r="A81" t="s">
        <v>9</v>
      </c>
    </row>
    <row r="82" spans="1:1" x14ac:dyDescent="0.25">
      <c r="A82">
        <v>100</v>
      </c>
    </row>
    <row r="83" spans="1:1" x14ac:dyDescent="0.25">
      <c r="A83">
        <v>105</v>
      </c>
    </row>
    <row r="84" spans="1:1" x14ac:dyDescent="0.25">
      <c r="A84">
        <v>98</v>
      </c>
    </row>
    <row r="85" spans="1:1" x14ac:dyDescent="0.25">
      <c r="A85">
        <v>110</v>
      </c>
    </row>
    <row r="86" spans="1:1" x14ac:dyDescent="0.25">
      <c r="A86">
        <v>120</v>
      </c>
    </row>
    <row r="88" spans="1:1" x14ac:dyDescent="0.25">
      <c r="A88">
        <f>MAX(A82:A86) - MIN(A82:A86)</f>
        <v>22</v>
      </c>
    </row>
    <row r="89" spans="1:1" x14ac:dyDescent="0.25">
      <c r="A89" t="s">
        <v>23</v>
      </c>
    </row>
    <row r="92" spans="1:1" x14ac:dyDescent="0.25">
      <c r="A92" t="s">
        <v>24</v>
      </c>
    </row>
    <row r="93" spans="1:1" x14ac:dyDescent="0.25">
      <c r="A93" t="s">
        <v>25</v>
      </c>
    </row>
    <row r="94" spans="1:1" x14ac:dyDescent="0.25">
      <c r="A94" t="s">
        <v>26</v>
      </c>
    </row>
    <row r="95" spans="1:1" x14ac:dyDescent="0.25">
      <c r="A95" t="s">
        <v>27</v>
      </c>
    </row>
    <row r="97" spans="1:2" x14ac:dyDescent="0.25">
      <c r="A97" t="s">
        <v>28</v>
      </c>
    </row>
    <row r="99" spans="1:2" x14ac:dyDescent="0.25">
      <c r="A99" t="s">
        <v>13</v>
      </c>
    </row>
    <row r="101" spans="1:2" x14ac:dyDescent="0.25">
      <c r="A101" t="s">
        <v>29</v>
      </c>
      <c r="B101" t="s">
        <v>31</v>
      </c>
    </row>
    <row r="102" spans="1:2" x14ac:dyDescent="0.25">
      <c r="A102" t="s">
        <v>9</v>
      </c>
      <c r="B102">
        <v>6</v>
      </c>
    </row>
    <row r="103" spans="1:2" x14ac:dyDescent="0.25">
      <c r="A103" t="s">
        <v>30</v>
      </c>
      <c r="B103">
        <v>15</v>
      </c>
    </row>
    <row r="105" spans="1:2" x14ac:dyDescent="0.25">
      <c r="A105">
        <f>MIN(B102:B103)</f>
        <v>6</v>
      </c>
    </row>
    <row r="106" spans="1:2" x14ac:dyDescent="0.25">
      <c r="A106" t="s">
        <v>32</v>
      </c>
    </row>
    <row r="109" spans="1:2" x14ac:dyDescent="0.25">
      <c r="A109" t="s">
        <v>33</v>
      </c>
    </row>
    <row r="111" spans="1:2" x14ac:dyDescent="0.25">
      <c r="A111" t="s">
        <v>34</v>
      </c>
    </row>
    <row r="112" spans="1:2" x14ac:dyDescent="0.25">
      <c r="A112" t="s">
        <v>35</v>
      </c>
    </row>
    <row r="113" spans="1:2" x14ac:dyDescent="0.25">
      <c r="A113" t="s">
        <v>36</v>
      </c>
    </row>
    <row r="115" spans="1:2" x14ac:dyDescent="0.25">
      <c r="A115" t="s">
        <v>37</v>
      </c>
    </row>
    <row r="117" spans="1:2" x14ac:dyDescent="0.25">
      <c r="A117" t="s">
        <v>38</v>
      </c>
    </row>
    <row r="119" spans="1:2" x14ac:dyDescent="0.25">
      <c r="A119" t="s">
        <v>39</v>
      </c>
      <c r="B119" t="s">
        <v>40</v>
      </c>
    </row>
    <row r="120" spans="1:2" x14ac:dyDescent="0.25">
      <c r="A120" t="s">
        <v>9</v>
      </c>
      <c r="B120">
        <v>30</v>
      </c>
    </row>
    <row r="121" spans="1:2" x14ac:dyDescent="0.25">
      <c r="A121" t="s">
        <v>30</v>
      </c>
      <c r="B121">
        <v>120</v>
      </c>
    </row>
    <row r="123" spans="1:2" x14ac:dyDescent="0.25">
      <c r="A123" t="str" cm="1">
        <f t="array" ref="A123:A124">IF(B120:B121,"coin B is riskier","Coin A is riskier")</f>
        <v>coin B is riskier</v>
      </c>
    </row>
    <row r="124" spans="1:2" x14ac:dyDescent="0.25">
      <c r="A124" t="str">
        <v>coin B is riskier</v>
      </c>
    </row>
    <row r="126" spans="1:2" x14ac:dyDescent="0.25">
      <c r="A126" t="s">
        <v>41</v>
      </c>
    </row>
    <row r="129" spans="1:2" x14ac:dyDescent="0.25">
      <c r="A129" t="s">
        <v>42</v>
      </c>
    </row>
    <row r="130" spans="1:2" x14ac:dyDescent="0.25">
      <c r="A130" t="s">
        <v>43</v>
      </c>
    </row>
    <row r="131" spans="1:2" x14ac:dyDescent="0.25">
      <c r="A131" t="s">
        <v>44</v>
      </c>
    </row>
    <row r="133" spans="1:2" x14ac:dyDescent="0.25">
      <c r="A133" t="s">
        <v>13</v>
      </c>
    </row>
    <row r="135" spans="1:2" x14ac:dyDescent="0.25">
      <c r="A135" t="s">
        <v>45</v>
      </c>
    </row>
    <row r="136" spans="1:2" x14ac:dyDescent="0.25">
      <c r="A136">
        <v>400</v>
      </c>
    </row>
    <row r="137" spans="1:2" x14ac:dyDescent="0.25">
      <c r="A137">
        <v>420</v>
      </c>
    </row>
    <row r="138" spans="1:2" x14ac:dyDescent="0.25">
      <c r="A138">
        <v>390</v>
      </c>
    </row>
    <row r="139" spans="1:2" x14ac:dyDescent="0.25">
      <c r="A139">
        <v>450</v>
      </c>
    </row>
    <row r="140" spans="1:2" x14ac:dyDescent="0.25">
      <c r="A140">
        <v>410</v>
      </c>
    </row>
    <row r="142" spans="1:2" x14ac:dyDescent="0.25">
      <c r="A142">
        <f>AVERAGE(A136:A140)</f>
        <v>414</v>
      </c>
      <c r="B142" t="s">
        <v>46</v>
      </c>
    </row>
    <row r="144" spans="1:2" x14ac:dyDescent="0.25">
      <c r="A144">
        <f>_xlfn.STDEV.S(A136:A140)</f>
        <v>23.021728866442675</v>
      </c>
      <c r="B144" t="s">
        <v>47</v>
      </c>
    </row>
    <row r="147" spans="1:1" x14ac:dyDescent="0.25">
      <c r="A147" t="s">
        <v>48</v>
      </c>
    </row>
    <row r="148" spans="1:1" x14ac:dyDescent="0.25">
      <c r="A148" t="s">
        <v>49</v>
      </c>
    </row>
    <row r="150" spans="1:1" x14ac:dyDescent="0.25">
      <c r="A150" t="s">
        <v>13</v>
      </c>
    </row>
    <row r="152" spans="1:1" x14ac:dyDescent="0.25">
      <c r="A152" t="s">
        <v>9</v>
      </c>
    </row>
    <row r="153" spans="1:1" x14ac:dyDescent="0.25">
      <c r="A153">
        <v>15</v>
      </c>
    </row>
    <row r="154" spans="1:1" x14ac:dyDescent="0.25">
      <c r="A154">
        <v>18</v>
      </c>
    </row>
    <row r="155" spans="1:1" x14ac:dyDescent="0.25">
      <c r="A155">
        <v>20</v>
      </c>
    </row>
    <row r="156" spans="1:1" x14ac:dyDescent="0.25">
      <c r="A156">
        <v>22</v>
      </c>
    </row>
    <row r="157" spans="1:1" x14ac:dyDescent="0.25">
      <c r="A157">
        <v>25</v>
      </c>
    </row>
    <row r="158" spans="1:1" x14ac:dyDescent="0.25">
      <c r="A158">
        <v>17</v>
      </c>
    </row>
    <row r="159" spans="1:1" x14ac:dyDescent="0.25">
      <c r="A159">
        <v>19</v>
      </c>
    </row>
    <row r="160" spans="1:1" x14ac:dyDescent="0.25">
      <c r="A160">
        <v>21</v>
      </c>
    </row>
    <row r="162" spans="1:2" x14ac:dyDescent="0.25">
      <c r="A162">
        <f>AVERAGE(A153:A160)</f>
        <v>19.625</v>
      </c>
      <c r="B162" t="s">
        <v>50</v>
      </c>
    </row>
    <row r="163" spans="1:2" x14ac:dyDescent="0.25">
      <c r="A163">
        <f>MEDIAN(A153:A160)</f>
        <v>19.5</v>
      </c>
      <c r="B163" t="s">
        <v>51</v>
      </c>
    </row>
    <row r="164" spans="1:2" x14ac:dyDescent="0.25">
      <c r="A164" t="e">
        <f>MODE(A153:A160)</f>
        <v>#N/A</v>
      </c>
      <c r="B164" t="s">
        <v>52</v>
      </c>
    </row>
    <row r="165" spans="1:2" x14ac:dyDescent="0.25">
      <c r="A165">
        <f>MAX(A153:A160) - MIN(A153:A160)</f>
        <v>10</v>
      </c>
      <c r="B165" t="s">
        <v>53</v>
      </c>
    </row>
    <row r="166" spans="1:2" x14ac:dyDescent="0.25">
      <c r="A166">
        <f>_xlfn.STDEV.S(A153:A160)</f>
        <v>3.1139088893910452</v>
      </c>
      <c r="B166" t="s">
        <v>54</v>
      </c>
    </row>
    <row r="168" spans="1:2" x14ac:dyDescent="0.25">
      <c r="A168" t="s">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Abhirup Ghosh</dc:creator>
  <cp:lastModifiedBy>Abhirup Ghosh</cp:lastModifiedBy>
  <dcterms:created xsi:type="dcterms:W3CDTF">2025-12-30T13:22:19Z</dcterms:created>
  <dcterms:modified xsi:type="dcterms:W3CDTF">2025-12-30T14:18:42Z</dcterms:modified>
</cp:coreProperties>
</file>